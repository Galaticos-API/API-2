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R:\FATEC\sem2\API-2\DOCS\Documentação das Sprints\"/>
    </mc:Choice>
  </mc:AlternateContent>
  <xr:revisionPtr revIDLastSave="0" documentId="13_ncr:1_{F07A0D59-B03F-4AA3-A6C3-CCAC144BFD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rndown Chart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I26" i="1" s="1"/>
  <c r="B25" i="1"/>
  <c r="C25" i="1" s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H26" i="1" l="1"/>
  <c r="G26" i="1"/>
  <c r="F26" i="1"/>
  <c r="E26" i="1"/>
  <c r="D26" i="1"/>
  <c r="C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</calcChain>
</file>

<file path=xl/sharedStrings.xml><?xml version="1.0" encoding="utf-8"?>
<sst xmlns="http://schemas.openxmlformats.org/spreadsheetml/2006/main" count="41" uniqueCount="41">
  <si>
    <t>Total de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</si>
  <si>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</si>
  <si>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</si>
  <si>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</si>
  <si>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</si>
  <si>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</si>
  <si>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</si>
  <si>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</si>
  <si>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</si>
  <si>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</si>
  <si>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</si>
  <si>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</si>
  <si>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</si>
  <si>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</si>
  <si>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</si>
  <si>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</si>
  <si>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</si>
  <si>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</si>
  <si>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</si>
  <si>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</si>
  <si>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</si>
  <si>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Restante</t>
  </si>
  <si>
    <t>Estimado</t>
  </si>
  <si>
    <t>Tasks</t>
  </si>
  <si>
    <t>S0-Mudar status do usuário na edição do usuário</t>
  </si>
  <si>
    <t>S1-Caso usuário esteja desativado, impedir login</t>
  </si>
  <si>
    <t>S2-Tratamento de erros no login</t>
  </si>
  <si>
    <t>S2.1-Realizar testes e aplicar tratamento correto de erros em todos os cadastros</t>
  </si>
  <si>
    <t>S3-Pesquisar quais informações são relevantes para mostrar no dashboard</t>
  </si>
  <si>
    <t>S4-Explorar possíveis mudanças no front-end</t>
  </si>
  <si>
    <t>S5-Arrumar estimativas de cada User Story no README</t>
  </si>
  <si>
    <t>S6-Atualizar tabela das sprints com link para cada documento de cada sprint no README</t>
  </si>
  <si>
    <t>S7-Colocar logos para cada tecnologia usada no README</t>
  </si>
  <si>
    <t>S8-Gravar vídeo da sprint 2 e botar no README</t>
  </si>
  <si>
    <t>S9-Dashboard para RH</t>
  </si>
  <si>
    <t>S10-Dashboard para Gestor geral</t>
  </si>
  <si>
    <t>S11-Dashboard para Gestor de área</t>
  </si>
  <si>
    <t>S12-Dashboard para Colaborador</t>
  </si>
  <si>
    <t>S13.2-Manual de instalação</t>
  </si>
  <si>
    <t>S13.1-Manual de usuário</t>
  </si>
  <si>
    <t>Gestão de git e docs (SM)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</si>
</sst>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Chart'!$B$25:$V$25</c:f>
              <c:numCache>
                <c:formatCode>General</c:formatCode>
                <c:ptCount val="21"/>
                <c:pt idx="0">
                  <c:v>58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E5-49E7-B31D-CE7A4C89842A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Chart'!$B$26:$V$26</c:f>
              <c:numCache>
                <c:formatCode>General</c:formatCode>
                <c:ptCount val="21"/>
                <c:pt idx="0">
                  <c:v>58</c:v>
                </c:pt>
                <c:pt idx="1">
                  <c:v>55.1</c:v>
                </c:pt>
                <c:pt idx="2">
                  <c:v>52.2</c:v>
                </c:pt>
                <c:pt idx="3">
                  <c:v>49.3</c:v>
                </c:pt>
                <c:pt idx="4">
                  <c:v>46.4</c:v>
                </c:pt>
                <c:pt idx="5">
                  <c:v>43.5</c:v>
                </c:pt>
                <c:pt idx="6">
                  <c:v>40.6</c:v>
                </c:pt>
                <c:pt idx="7">
                  <c:v>37.700000000000003</c:v>
                </c:pt>
                <c:pt idx="8">
                  <c:v>34.799999999999997</c:v>
                </c:pt>
                <c:pt idx="9">
                  <c:v>31.900000000000002</c:v>
                </c:pt>
                <c:pt idx="10">
                  <c:v>29</c:v>
                </c:pt>
                <c:pt idx="11">
                  <c:v>26.1</c:v>
                </c:pt>
                <c:pt idx="12">
                  <c:v>23.200000000000003</c:v>
                </c:pt>
                <c:pt idx="13">
                  <c:v>20.300000000000004</c:v>
                </c:pt>
                <c:pt idx="14">
                  <c:v>17.399999999999999</c:v>
                </c:pt>
                <c:pt idx="15">
                  <c:v>14.5</c:v>
                </c:pt>
                <c:pt idx="16">
                  <c:v>11.600000000000001</c:v>
                </c:pt>
                <c:pt idx="17">
                  <c:v>8.7000000000000028</c:v>
                </c:pt>
                <c:pt idx="18">
                  <c:v>5.8000000000000043</c:v>
                </c:pt>
                <c:pt idx="19">
                  <c:v>2.8999999999999986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E5-49E7-B31D-CE7A4C89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Chart'!$B$25:$V$25</c:f>
              <c:numCache>
                <c:formatCode>General</c:formatCode>
                <c:ptCount val="21"/>
                <c:pt idx="0">
                  <c:v>58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AE-44C0-9D20-ACFA05CAA252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Chart'!$B$26:$V$26</c:f>
              <c:numCache>
                <c:formatCode>General</c:formatCode>
                <c:ptCount val="21"/>
                <c:pt idx="0">
                  <c:v>58</c:v>
                </c:pt>
                <c:pt idx="1">
                  <c:v>55.1</c:v>
                </c:pt>
                <c:pt idx="2">
                  <c:v>52.2</c:v>
                </c:pt>
                <c:pt idx="3">
                  <c:v>49.3</c:v>
                </c:pt>
                <c:pt idx="4">
                  <c:v>46.4</c:v>
                </c:pt>
                <c:pt idx="5">
                  <c:v>43.5</c:v>
                </c:pt>
                <c:pt idx="6">
                  <c:v>40.6</c:v>
                </c:pt>
                <c:pt idx="7">
                  <c:v>37.700000000000003</c:v>
                </c:pt>
                <c:pt idx="8">
                  <c:v>34.799999999999997</c:v>
                </c:pt>
                <c:pt idx="9">
                  <c:v>31.900000000000002</c:v>
                </c:pt>
                <c:pt idx="10">
                  <c:v>29</c:v>
                </c:pt>
                <c:pt idx="11">
                  <c:v>26.1</c:v>
                </c:pt>
                <c:pt idx="12">
                  <c:v>23.200000000000003</c:v>
                </c:pt>
                <c:pt idx="13">
                  <c:v>20.300000000000004</c:v>
                </c:pt>
                <c:pt idx="14">
                  <c:v>17.399999999999999</c:v>
                </c:pt>
                <c:pt idx="15">
                  <c:v>14.5</c:v>
                </c:pt>
                <c:pt idx="16">
                  <c:v>11.600000000000001</c:v>
                </c:pt>
                <c:pt idx="17">
                  <c:v>8.7000000000000028</c:v>
                </c:pt>
                <c:pt idx="18">
                  <c:v>5.8000000000000043</c:v>
                </c:pt>
                <c:pt idx="19">
                  <c:v>2.8999999999999986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AE-44C0-9D20-ACFA05C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390524</xdr:colOff>
      <xdr:row>1</xdr:row>
      <xdr:rowOff>14287</xdr:rowOff>
    </xdr:from>
    <xdr:ext cx="6191250" cy="36385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133351</xdr:rowOff>
    </xdr:from>
    <xdr:ext cx="14430375" cy="582929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E86CFF-85C4-4865-AED4-CCDE77582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84C1C-B0F0-42C1-9734-A26A7C746AC5}" name="Tabela2" displayName="Tabela2" ref="A1:V24" totalsRowShown="0" headerRowDxfId="23" dataDxfId="22">
  <autoFilter ref="A1:V24" xr:uid="{E1884C1C-B0F0-42C1-9734-A26A7C746AC5}"/>
  <tableColumns count="22">
    <tableColumn id="1" xr3:uid="{DC2BAE98-3A26-4BC7-8ED6-C3303DF0038D}" name="Tasks" dataDxfId="21"/>
    <tableColumn id="2" xr3:uid="{1A2025CD-23B1-415B-92B3-5881DCA18C20}" name="Total de horas" dataDxfId="20"/>
    <tableColumn id="3" xr3:uid="{4BC0BD76-7741-45BB-97A7-D6882CC1F1D8}" name="Dia 1" dataDxfId="19"/>
    <tableColumn id="4" xr3:uid="{00882AA1-DD73-47DC-8C10-EF217AC99768}" name="Dia 2" dataDxfId="18"/>
    <tableColumn id="5" xr3:uid="{26CA22D1-FC01-468E-9640-E8C45E991335}" name="Dia 3" dataDxfId="17"/>
    <tableColumn id="6" xr3:uid="{8637A8CA-1019-4007-B1C8-E2B239B9DDE1}" name="Dia 4" dataDxfId="16"/>
    <tableColumn id="7" xr3:uid="{A817E580-DFE5-4C0E-95B3-BA357CCF9AE1}" name="Dia 5" dataDxfId="15"/>
    <tableColumn id="8" xr3:uid="{D4E45274-3E12-45D7-8440-09BF785A95E4}" name="Dia 6" dataDxfId="14"/>
    <tableColumn id="9" xr3:uid="{731C7356-2D40-41A5-B847-23C816E5BAD2}" name="Dia 7" dataDxfId="13"/>
    <tableColumn id="10" xr3:uid="{824F84C5-6311-4AAA-96D8-D8FD71FBBAF6}" name="Dia 8" dataDxfId="12"/>
    <tableColumn id="11" xr3:uid="{A41E8023-6BEE-4187-9A47-DA4E41991646}" name="Dia 9" dataDxfId="11"/>
    <tableColumn id="12" xr3:uid="{FCCE3901-00D6-4E75-A167-FD4C20E71CF2}" name="Dia 10" dataDxfId="10"/>
    <tableColumn id="13" xr3:uid="{E9D6ACAB-EF0B-42EB-977B-E157431B7C93}" name="Dia 11" dataDxfId="9"/>
    <tableColumn id="14" xr3:uid="{7DE82C8F-4251-435F-8119-4098379E7C92}" name="Dia 12" dataDxfId="8"/>
    <tableColumn id="15" xr3:uid="{C0057573-93FA-4291-8B0E-84DA468004AA}" name="Dia 13" dataDxfId="7"/>
    <tableColumn id="16" xr3:uid="{616A7614-87CD-480E-8FB6-B3E991E2E773}" name="Dia 14" dataDxfId="6"/>
    <tableColumn id="17" xr3:uid="{1EA39BE6-7D7D-43AD-8119-68FE10A2BB9C}" name="Dia 15" dataDxfId="5"/>
    <tableColumn id="18" xr3:uid="{EF7A01F8-F878-4FFE-B140-126C702615BE}" name="Dia 16" dataDxfId="4"/>
    <tableColumn id="19" xr3:uid="{9701BAD2-120F-49E8-9004-331E6F9C2716}" name="Dia 17" dataDxfId="3"/>
    <tableColumn id="20" xr3:uid="{72A17F3E-6229-46C9-8FEE-BDF8B519F9FD}" name="Dia 18" dataDxfId="2"/>
    <tableColumn id="21" xr3:uid="{1C3259A9-A4D5-488F-BE54-1D541CFA2C96}" name="Dia 19" dataDxfId="1"/>
    <tableColumn id="22" xr3:uid="{4411E0A4-16AB-46BD-886B-34DA12503542}" name="Dia 2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="85" zoomScaleNormal="85" workbookViewId="0">
      <selection activeCell="E23" sqref="E23"/>
    </sheetView>
  </sheetViews>
  <sheetFormatPr defaultRowHeight="15" x14ac:dyDescent="0.25"/>
  <cols>
    <col min="1" max="1" width="80.42578125" bestFit="1" customWidth="1"/>
    <col min="2" max="2" width="18.140625" bestFit="1" customWidth="1"/>
    <col min="3" max="5" width="9.85546875" bestFit="1" customWidth="1"/>
    <col min="7" max="11" width="9.85546875" bestFit="1" customWidth="1"/>
    <col min="12" max="21" width="10.85546875" bestFit="1" customWidth="1"/>
  </cols>
  <sheetData>
    <row r="1" spans="1:22" x14ac:dyDescent="0.2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2" t="s">
        <v>24</v>
      </c>
      <c r="B2" s="1">
        <v>2</v>
      </c>
      <c r="C2" s="1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 t="s">
        <v>25</v>
      </c>
      <c r="B3" s="1">
        <v>2</v>
      </c>
      <c r="C3" s="1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" t="s">
        <v>26</v>
      </c>
      <c r="B4" s="1">
        <v>1</v>
      </c>
      <c r="C4" s="1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" t="s">
        <v>27</v>
      </c>
      <c r="B5" s="1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2" t="s">
        <v>28</v>
      </c>
      <c r="B6" s="1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2" t="s">
        <v>29</v>
      </c>
      <c r="B7" s="1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2" t="s">
        <v>30</v>
      </c>
      <c r="B8" s="1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2" t="s">
        <v>31</v>
      </c>
      <c r="B9" s="1">
        <v>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 t="s">
        <v>32</v>
      </c>
      <c r="B10" s="1">
        <v>1</v>
      </c>
      <c r="C10" s="1">
        <v>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 t="s">
        <v>33</v>
      </c>
      <c r="B11" s="1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 t="s">
        <v>34</v>
      </c>
      <c r="B12" s="1">
        <v>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2" t="s">
        <v>35</v>
      </c>
      <c r="B13" s="1">
        <v>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2" t="s">
        <v>36</v>
      </c>
      <c r="B14" s="1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2" t="s">
        <v>37</v>
      </c>
      <c r="B15" s="1">
        <v>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2" t="s">
        <v>39</v>
      </c>
      <c r="B16" s="1">
        <v>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2" t="s">
        <v>38</v>
      </c>
      <c r="B17" s="1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2" t="s">
        <v>40</v>
      </c>
      <c r="B24" s="1">
        <v>8</v>
      </c>
      <c r="C24" s="1"/>
      <c r="D24" s="1"/>
      <c r="E24" s="1">
        <v>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2"/>
      <c r="T24" s="1"/>
      <c r="U24" s="1"/>
      <c r="V24" s="1"/>
    </row>
    <row r="25" spans="1:22" x14ac:dyDescent="0.25">
      <c r="A25" s="3" t="s">
        <v>21</v>
      </c>
      <c r="B25" s="4">
        <f>SUM(B2:B24)</f>
        <v>58</v>
      </c>
      <c r="C25" s="4">
        <f t="shared" ref="C25:V25" si="0">B25-SUM(C2:C24)</f>
        <v>52</v>
      </c>
      <c r="D25" s="4">
        <f t="shared" si="0"/>
        <v>52</v>
      </c>
      <c r="E25" s="4">
        <f t="shared" si="0"/>
        <v>50</v>
      </c>
      <c r="F25" s="4">
        <f t="shared" si="0"/>
        <v>50</v>
      </c>
      <c r="G25" s="4">
        <f t="shared" si="0"/>
        <v>50</v>
      </c>
      <c r="H25" s="4">
        <f t="shared" si="0"/>
        <v>50</v>
      </c>
      <c r="I25" s="4">
        <f>H25-SUM(I2:I24)</f>
        <v>50</v>
      </c>
      <c r="J25" s="4">
        <f t="shared" si="0"/>
        <v>50</v>
      </c>
      <c r="K25" s="4">
        <f t="shared" si="0"/>
        <v>50</v>
      </c>
      <c r="L25" s="4">
        <f>K25-SUM(L2:L24)</f>
        <v>50</v>
      </c>
      <c r="M25" s="4">
        <f t="shared" si="0"/>
        <v>50</v>
      </c>
      <c r="N25" s="4">
        <f t="shared" si="0"/>
        <v>50</v>
      </c>
      <c r="O25" s="4">
        <f t="shared" si="0"/>
        <v>50</v>
      </c>
      <c r="P25" s="4">
        <f t="shared" si="0"/>
        <v>50</v>
      </c>
      <c r="Q25" s="4">
        <f t="shared" si="0"/>
        <v>50</v>
      </c>
      <c r="R25" s="4">
        <f t="shared" si="0"/>
        <v>50</v>
      </c>
      <c r="S25" s="4">
        <f t="shared" si="0"/>
        <v>50</v>
      </c>
      <c r="T25" s="4">
        <f t="shared" si="0"/>
        <v>50</v>
      </c>
      <c r="U25" s="4">
        <f t="shared" si="0"/>
        <v>50</v>
      </c>
      <c r="V25" s="4">
        <f t="shared" si="0"/>
        <v>50</v>
      </c>
    </row>
    <row r="26" spans="1:22" x14ac:dyDescent="0.25">
      <c r="A26" s="5" t="s">
        <v>22</v>
      </c>
      <c r="B26" s="6">
        <f>SUM(B2:B24)</f>
        <v>58</v>
      </c>
      <c r="C26" s="6">
        <f>$B$26-(($B$26/20)*(COLUMN()-2))</f>
        <v>55.1</v>
      </c>
      <c r="D26" s="6">
        <f t="shared" ref="D26:V26" si="1">$B$26-(($B$26/20)*(COLUMN()-2))</f>
        <v>52.2</v>
      </c>
      <c r="E26" s="6">
        <f t="shared" si="1"/>
        <v>49.3</v>
      </c>
      <c r="F26" s="6">
        <f t="shared" si="1"/>
        <v>46.4</v>
      </c>
      <c r="G26" s="6">
        <f t="shared" si="1"/>
        <v>43.5</v>
      </c>
      <c r="H26" s="6">
        <f t="shared" si="1"/>
        <v>40.6</v>
      </c>
      <c r="I26" s="6">
        <f t="shared" si="1"/>
        <v>37.700000000000003</v>
      </c>
      <c r="J26" s="6">
        <f t="shared" si="1"/>
        <v>34.799999999999997</v>
      </c>
      <c r="K26" s="6">
        <f t="shared" si="1"/>
        <v>31.900000000000002</v>
      </c>
      <c r="L26" s="6">
        <f t="shared" si="1"/>
        <v>29</v>
      </c>
      <c r="M26" s="6">
        <f t="shared" si="1"/>
        <v>26.1</v>
      </c>
      <c r="N26" s="6">
        <f t="shared" si="1"/>
        <v>23.200000000000003</v>
      </c>
      <c r="O26" s="6">
        <f t="shared" si="1"/>
        <v>20.300000000000004</v>
      </c>
      <c r="P26" s="6">
        <f t="shared" si="1"/>
        <v>17.399999999999999</v>
      </c>
      <c r="Q26" s="6">
        <f t="shared" si="1"/>
        <v>14.5</v>
      </c>
      <c r="R26" s="6">
        <f t="shared" si="1"/>
        <v>11.600000000000001</v>
      </c>
      <c r="S26" s="6">
        <f t="shared" si="1"/>
        <v>8.7000000000000028</v>
      </c>
      <c r="T26" s="6">
        <f t="shared" si="1"/>
        <v>5.8000000000000043</v>
      </c>
      <c r="U26" s="6">
        <f t="shared" si="1"/>
        <v>2.8999999999999986</v>
      </c>
      <c r="V26" s="6">
        <f t="shared" si="1"/>
        <v>0</v>
      </c>
    </row>
  </sheetData>
  <phoneticPr fontId="2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F5D5-9845-4510-B31C-B45C1A0563CA}">
  <dimension ref="A1"/>
  <sheetViews>
    <sheetView topLeftCell="B1" workbookViewId="0">
      <selection activeCell="N34" sqref="N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Burndown Chart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Giordano Matesco</cp:lastModifiedBy>
  <dcterms:created xsi:type="dcterms:W3CDTF">2025-09-04T22:02:27Z</dcterms:created>
  <dcterms:modified xsi:type="dcterms:W3CDTF">2025-11-06T11:00:05Z</dcterms:modified>
</cp:coreProperties>
</file>